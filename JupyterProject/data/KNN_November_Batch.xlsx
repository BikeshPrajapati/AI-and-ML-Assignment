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c5d717f6786640/Pragra/AI_ML_Course/Week1/"/>
    </mc:Choice>
  </mc:AlternateContent>
  <xr:revisionPtr revIDLastSave="958" documentId="8_{92262AD7-BC28-45F1-8B0E-2EEB3A5A19D6}" xr6:coauthVersionLast="47" xr6:coauthVersionMax="47" xr10:uidLastSave="{1EB37372-46DB-4013-8C74-396BA042E32E}"/>
  <bookViews>
    <workbookView xWindow="-23148" yWindow="-108" windowWidth="23256" windowHeight="12456" xr2:uid="{1646A5D5-8354-4F77-B389-2E24901C03BD}"/>
  </bookViews>
  <sheets>
    <sheet name="Diabetes" sheetId="1" r:id="rId1"/>
  </sheets>
  <definedNames>
    <definedName name="_xlnm._FilterDatabase" localSheetId="0" hidden="1">Diabetes!$A$1:$I$27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1" i="1"/>
  <c r="I17" i="1"/>
  <c r="I8" i="1"/>
  <c r="I12" i="1"/>
  <c r="I18" i="1"/>
  <c r="I24" i="1"/>
  <c r="I4" i="1"/>
  <c r="I6" i="1"/>
  <c r="I13" i="1"/>
  <c r="I5" i="1"/>
  <c r="I19" i="1"/>
  <c r="I21" i="1"/>
  <c r="I26" i="1"/>
  <c r="I25" i="1"/>
  <c r="I3" i="1"/>
  <c r="I15" i="1"/>
  <c r="I16" i="1"/>
  <c r="I9" i="1"/>
  <c r="I2" i="1"/>
  <c r="I22" i="1"/>
  <c r="I10" i="1"/>
  <c r="I23" i="1"/>
  <c r="I20" i="1"/>
  <c r="I7" i="1"/>
  <c r="H14" i="1"/>
  <c r="H11" i="1"/>
  <c r="H17" i="1"/>
  <c r="H8" i="1"/>
  <c r="H12" i="1"/>
  <c r="H18" i="1"/>
  <c r="H24" i="1"/>
  <c r="H4" i="1"/>
  <c r="H6" i="1"/>
  <c r="H13" i="1"/>
  <c r="H5" i="1"/>
  <c r="H19" i="1"/>
  <c r="H21" i="1"/>
  <c r="H26" i="1"/>
  <c r="H25" i="1"/>
  <c r="H3" i="1"/>
  <c r="H15" i="1"/>
  <c r="H16" i="1"/>
  <c r="H9" i="1"/>
  <c r="H2" i="1"/>
  <c r="H22" i="1"/>
  <c r="H10" i="1"/>
  <c r="H23" i="1"/>
  <c r="H20" i="1"/>
  <c r="H7" i="1"/>
</calcChain>
</file>

<file path=xl/sharedStrings.xml><?xml version="1.0" encoding="utf-8"?>
<sst xmlns="http://schemas.openxmlformats.org/spreadsheetml/2006/main" count="93" uniqueCount="60">
  <si>
    <t>Age</t>
  </si>
  <si>
    <t>BMI</t>
  </si>
  <si>
    <t>BloodPressure</t>
  </si>
  <si>
    <t>Diabetic</t>
  </si>
  <si>
    <t>No</t>
  </si>
  <si>
    <t>Yes</t>
  </si>
  <si>
    <t>?</t>
  </si>
  <si>
    <t>Sr. No.</t>
  </si>
  <si>
    <t>Name</t>
  </si>
  <si>
    <t>AC</t>
  </si>
  <si>
    <t>AA</t>
  </si>
  <si>
    <t>HB</t>
  </si>
  <si>
    <t>VC</t>
  </si>
  <si>
    <t>VS</t>
  </si>
  <si>
    <t>DS</t>
  </si>
  <si>
    <t>MS</t>
  </si>
  <si>
    <t>SK</t>
  </si>
  <si>
    <t>TG</t>
  </si>
  <si>
    <t>SP</t>
  </si>
  <si>
    <t>SM</t>
  </si>
  <si>
    <t>PC</t>
  </si>
  <si>
    <t>MD</t>
  </si>
  <si>
    <t>SD</t>
  </si>
  <si>
    <t>SC</t>
  </si>
  <si>
    <t>DC</t>
  </si>
  <si>
    <t>RC</t>
  </si>
  <si>
    <t>SG</t>
  </si>
  <si>
    <t>PG</t>
  </si>
  <si>
    <t>SS</t>
  </si>
  <si>
    <t>TK</t>
  </si>
  <si>
    <t>PK</t>
  </si>
  <si>
    <t>AM</t>
  </si>
  <si>
    <t>Features</t>
  </si>
  <si>
    <t>Columns</t>
  </si>
  <si>
    <t>Input Variables</t>
  </si>
  <si>
    <t>Attributes</t>
  </si>
  <si>
    <t>Label</t>
  </si>
  <si>
    <t>Target Variable</t>
  </si>
  <si>
    <t>Golden Truth</t>
  </si>
  <si>
    <t>Supervised ML Project</t>
  </si>
  <si>
    <t>Training</t>
  </si>
  <si>
    <t>Testing</t>
  </si>
  <si>
    <t>70-80%</t>
  </si>
  <si>
    <t>20-30%</t>
  </si>
  <si>
    <t>1000 datapoints</t>
  </si>
  <si>
    <t>K= 5</t>
  </si>
  <si>
    <t>K= 3</t>
  </si>
  <si>
    <t>K= 7</t>
  </si>
  <si>
    <t>Euclidean Distance</t>
  </si>
  <si>
    <t>NG</t>
  </si>
  <si>
    <t>4 No | 1 Yes</t>
  </si>
  <si>
    <t>Not Diabetic</t>
  </si>
  <si>
    <t>3 No</t>
  </si>
  <si>
    <t>5 No | 2 Yes</t>
  </si>
  <si>
    <t>Age, BMI, BP, HB</t>
  </si>
  <si>
    <t>Euclidean Distance -All Features</t>
  </si>
  <si>
    <t>5 No</t>
  </si>
  <si>
    <t>All Features</t>
  </si>
  <si>
    <t>2 Features</t>
  </si>
  <si>
    <t>6 No | 1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</si>
</sst>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9" fontId="0" fillId="0" borderId="0" xfId="0" applyNumberFormat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Fill="1" applyBorder="1"/>
    <xf numFmtId="2" fontId="0" fillId="0" borderId="0" xfId="0" applyNumberFormat="1"/>
    <xf numFmtId="0" fontId="0" fillId="0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E640-1DDE-4C65-AA3B-AA0B1B674703}">
  <dimension ref="A1:N27"/>
  <sheetViews>
    <sheetView tabSelected="1" zoomScale="85" zoomScaleNormal="85" workbookViewId="0">
      <selection activeCell="O21" sqref="O21"/>
    </sheetView>
  </sheetViews>
  <sheetFormatPr defaultColWidth="11.7109375" defaultRowHeight="15" x14ac:dyDescent="0.25"/>
  <cols>
    <col min="1" max="2" width="11.7109375" customWidth="1"/>
    <col min="3" max="3" width="12.28515625" customWidth="1"/>
    <col min="5" max="5" width="16.5703125" bestFit="1" customWidth="1"/>
    <col min="6" max="6" width="11.28515625" customWidth="1"/>
    <col min="8" max="8" width="20.85546875" bestFit="1" customWidth="1"/>
    <col min="9" max="9" width="33" bestFit="1" customWidth="1"/>
    <col min="11" max="11" width="20.28515625" bestFit="1" customWidth="1"/>
    <col min="12" max="12" width="14.42578125" bestFit="1" customWidth="1"/>
    <col min="13" max="13" width="15.140625" bestFit="1" customWidth="1"/>
  </cols>
  <sheetData>
    <row r="1" spans="1:14" x14ac:dyDescent="0.25">
      <c r="A1" s="4" t="s">
        <v>7</v>
      </c>
      <c r="B1" s="4" t="s">
        <v>8</v>
      </c>
      <c r="C1" s="2" t="s">
        <v>0</v>
      </c>
      <c r="D1" s="2" t="s">
        <v>1</v>
      </c>
      <c r="E1" s="2" t="s">
        <v>2</v>
      </c>
      <c r="F1" s="2" t="s">
        <v>11</v>
      </c>
      <c r="G1" s="2" t="s">
        <v>3</v>
      </c>
      <c r="H1" s="6" t="s">
        <v>48</v>
      </c>
      <c r="I1" s="6" t="s">
        <v>55</v>
      </c>
    </row>
    <row r="2" spans="1:14" x14ac:dyDescent="0.25">
      <c r="A2" s="5">
        <v>21</v>
      </c>
      <c r="B2" s="5" t="s">
        <v>15</v>
      </c>
      <c r="C2" s="8">
        <v>62</v>
      </c>
      <c r="D2" s="8">
        <v>35</v>
      </c>
      <c r="E2" s="8">
        <v>98</v>
      </c>
      <c r="F2" s="8">
        <v>14</v>
      </c>
      <c r="G2" s="8" t="s">
        <v>5</v>
      </c>
      <c r="H2" s="7">
        <f>SQRT((C2-$C$27)^2 + (D2-$D$27)^2)</f>
        <v>25.460754112948031</v>
      </c>
      <c r="I2" s="7">
        <f>SQRT((C2-$C$27)^2 + (D2-$D$27)^2 + (E2-$E$27)^2 + (F2-$F$27)^2)</f>
        <v>31.579265349276255</v>
      </c>
      <c r="K2" t="s">
        <v>54</v>
      </c>
      <c r="L2" t="s">
        <v>3</v>
      </c>
    </row>
    <row r="3" spans="1:14" x14ac:dyDescent="0.25">
      <c r="A3" s="5">
        <v>17</v>
      </c>
      <c r="B3" s="5" t="s">
        <v>13</v>
      </c>
      <c r="C3" s="8">
        <v>58</v>
      </c>
      <c r="D3" s="8">
        <v>34.5</v>
      </c>
      <c r="E3" s="8">
        <v>97</v>
      </c>
      <c r="F3" s="8">
        <v>9</v>
      </c>
      <c r="G3" s="8" t="s">
        <v>5</v>
      </c>
      <c r="H3" s="7">
        <f>SQRT((C3-$C$27)^2 + (D3-$D$27)^2)</f>
        <v>21.540659228538015</v>
      </c>
      <c r="I3" s="7">
        <f>SQRT((C3-$C$27)^2 + (D3-$D$27)^2 + (E3-$E$27)^2 + (F3-$F$27)^2)</f>
        <v>27.440845468024488</v>
      </c>
      <c r="K3" t="s">
        <v>32</v>
      </c>
      <c r="L3" t="s">
        <v>36</v>
      </c>
    </row>
    <row r="4" spans="1:14" x14ac:dyDescent="0.25">
      <c r="A4" s="5">
        <v>9</v>
      </c>
      <c r="B4" s="5" t="s">
        <v>18</v>
      </c>
      <c r="C4" s="8">
        <v>60</v>
      </c>
      <c r="D4" s="8">
        <v>32.200000000000003</v>
      </c>
      <c r="E4" s="8">
        <v>95</v>
      </c>
      <c r="F4" s="8">
        <v>10</v>
      </c>
      <c r="G4" s="8" t="s">
        <v>5</v>
      </c>
      <c r="H4" s="7">
        <f>SQRT((C4-$C$27)^2 + (D4-$D$27)^2)</f>
        <v>22.726416347501864</v>
      </c>
      <c r="I4" s="7">
        <f>SQRT((C4-$C$27)^2 + (D4-$D$27)^2 + (E4-$E$27)^2 + (F4-$F$27)^2)</f>
        <v>27.248669692298741</v>
      </c>
      <c r="K4" t="s">
        <v>33</v>
      </c>
      <c r="L4" t="s">
        <v>37</v>
      </c>
    </row>
    <row r="5" spans="1:14" x14ac:dyDescent="0.25">
      <c r="A5" s="5">
        <v>12</v>
      </c>
      <c r="B5" s="5" t="s">
        <v>21</v>
      </c>
      <c r="C5" s="8">
        <v>55</v>
      </c>
      <c r="D5" s="8">
        <v>33</v>
      </c>
      <c r="E5" s="8">
        <v>96</v>
      </c>
      <c r="F5" s="8">
        <v>11.5</v>
      </c>
      <c r="G5" s="8" t="s">
        <v>5</v>
      </c>
      <c r="H5" s="7">
        <f>SQRT((C5-$C$27)^2 + (D5-$D$27)^2)</f>
        <v>18.200274723201296</v>
      </c>
      <c r="I5" s="7">
        <f>SQRT((C5-$C$27)^2 + (D5-$D$27)^2 + (E5-$E$27)^2 + (F5-$F$27)^2)</f>
        <v>24.361855430159665</v>
      </c>
      <c r="K5" t="s">
        <v>34</v>
      </c>
      <c r="L5" t="s">
        <v>38</v>
      </c>
    </row>
    <row r="6" spans="1:14" x14ac:dyDescent="0.25">
      <c r="A6" s="5">
        <v>10</v>
      </c>
      <c r="B6" s="5" t="s">
        <v>19</v>
      </c>
      <c r="C6" s="8">
        <v>52</v>
      </c>
      <c r="D6" s="8">
        <v>31.8</v>
      </c>
      <c r="E6" s="8">
        <v>92</v>
      </c>
      <c r="F6" s="8">
        <v>14</v>
      </c>
      <c r="G6" s="8" t="s">
        <v>5</v>
      </c>
      <c r="H6" s="7">
        <f>SQRT((C6-$C$27)^2 + (D6-$D$27)^2)</f>
        <v>14.969635934116768</v>
      </c>
      <c r="I6" s="7">
        <f>SQRT((C6-$C$27)^2 + (D6-$D$27)^2 + (E6-$E$27)^2 + (F6-$F$27)^2)</f>
        <v>19.82649742138031</v>
      </c>
      <c r="K6" t="s">
        <v>35</v>
      </c>
    </row>
    <row r="7" spans="1:14" x14ac:dyDescent="0.25">
      <c r="A7" s="5">
        <v>1</v>
      </c>
      <c r="B7" s="5" t="s">
        <v>9</v>
      </c>
      <c r="C7" s="8">
        <v>25</v>
      </c>
      <c r="D7" s="8">
        <v>22.4</v>
      </c>
      <c r="E7" s="8">
        <v>70</v>
      </c>
      <c r="F7" s="8">
        <v>10</v>
      </c>
      <c r="G7" s="8" t="s">
        <v>4</v>
      </c>
      <c r="H7" s="7">
        <f>SQRT((C7-$C$27)^2 + (D7-$D$27)^2)</f>
        <v>13.631214179228497</v>
      </c>
      <c r="I7" s="7">
        <f>SQRT((C7-$C$27)^2 + (D7-$D$27)^2 + (E7-$E$27)^2 + (F7-$F$27)^2)</f>
        <v>16.93546574499798</v>
      </c>
    </row>
    <row r="8" spans="1:14" x14ac:dyDescent="0.25">
      <c r="A8" s="5">
        <v>5</v>
      </c>
      <c r="B8" s="5" t="s">
        <v>14</v>
      </c>
      <c r="C8" s="8">
        <v>50</v>
      </c>
      <c r="D8" s="8">
        <v>30.1</v>
      </c>
      <c r="E8" s="8">
        <v>90</v>
      </c>
      <c r="F8" s="8">
        <v>9</v>
      </c>
      <c r="G8" s="8" t="s">
        <v>5</v>
      </c>
      <c r="H8" s="7">
        <f>SQRT((C8-$C$27)^2 + (D8-$D$27)^2)</f>
        <v>12.528367810692661</v>
      </c>
      <c r="I8" s="7">
        <f>SQRT((C8-$C$27)^2 + (D8-$D$27)^2 + (E8-$E$27)^2 + (F8-$F$27)^2)</f>
        <v>16.029971927611104</v>
      </c>
      <c r="K8" t="s">
        <v>39</v>
      </c>
      <c r="M8" t="s">
        <v>44</v>
      </c>
    </row>
    <row r="9" spans="1:14" x14ac:dyDescent="0.25">
      <c r="A9" s="5">
        <v>20</v>
      </c>
      <c r="B9" s="5" t="s">
        <v>23</v>
      </c>
      <c r="C9" s="8">
        <v>27</v>
      </c>
      <c r="D9" s="8">
        <v>22.9</v>
      </c>
      <c r="E9" s="8">
        <v>71</v>
      </c>
      <c r="F9" s="8">
        <v>14</v>
      </c>
      <c r="G9" s="8" t="s">
        <v>4</v>
      </c>
      <c r="H9" s="7">
        <f>SQRT((C9-$C$27)^2 + (D9-$D$27)^2)</f>
        <v>11.574109036984229</v>
      </c>
      <c r="I9" s="7">
        <f>SQRT((C9-$C$27)^2 + (D9-$D$27)^2 + (E9-$E$27)^2 + (F9-$F$27)^2)</f>
        <v>15.490642336585013</v>
      </c>
      <c r="K9" t="s">
        <v>40</v>
      </c>
      <c r="L9" t="s">
        <v>42</v>
      </c>
      <c r="M9" s="3">
        <v>0.8</v>
      </c>
      <c r="N9">
        <v>800</v>
      </c>
    </row>
    <row r="10" spans="1:14" x14ac:dyDescent="0.25">
      <c r="A10" s="5">
        <v>23</v>
      </c>
      <c r="B10" s="5" t="s">
        <v>29</v>
      </c>
      <c r="C10" s="8">
        <v>49</v>
      </c>
      <c r="D10" s="8">
        <v>30.8</v>
      </c>
      <c r="E10" s="8">
        <v>89</v>
      </c>
      <c r="F10" s="8">
        <v>11.5</v>
      </c>
      <c r="G10" s="8" t="s">
        <v>5</v>
      </c>
      <c r="H10" s="7">
        <f>SQRT((C10-$C$27)^2 + (D10-$D$27)^2)</f>
        <v>11.810588469674151</v>
      </c>
      <c r="I10" s="7">
        <f>SQRT((C10-$C$27)^2 + (D10-$D$27)^2 + (E10-$E$27)^2 + (F10-$F$27)^2)</f>
        <v>15.057888298164521</v>
      </c>
      <c r="K10" t="s">
        <v>41</v>
      </c>
      <c r="L10" t="s">
        <v>43</v>
      </c>
      <c r="M10" s="3">
        <v>0.2</v>
      </c>
      <c r="N10">
        <v>200</v>
      </c>
    </row>
    <row r="11" spans="1:14" x14ac:dyDescent="0.25">
      <c r="A11" s="5">
        <v>3</v>
      </c>
      <c r="B11" s="5" t="s">
        <v>12</v>
      </c>
      <c r="C11" s="8">
        <v>28</v>
      </c>
      <c r="D11" s="8">
        <v>23.5</v>
      </c>
      <c r="E11" s="8">
        <v>72</v>
      </c>
      <c r="F11" s="8">
        <v>10</v>
      </c>
      <c r="G11" s="8" t="s">
        <v>4</v>
      </c>
      <c r="H11" s="7">
        <f>SQRT((C11-$C$27)^2 + (D11-$D$27)^2)</f>
        <v>10.440306508910551</v>
      </c>
      <c r="I11" s="7">
        <f>SQRT((C11-$C$27)^2 + (D11-$D$27)^2 + (E11-$E$27)^2 + (F11-$F$27)^2)</f>
        <v>13.19090595827292</v>
      </c>
    </row>
    <row r="12" spans="1:14" x14ac:dyDescent="0.25">
      <c r="A12" s="5">
        <v>6</v>
      </c>
      <c r="B12" s="5" t="s">
        <v>15</v>
      </c>
      <c r="C12" s="8">
        <v>48</v>
      </c>
      <c r="D12" s="8">
        <v>29.4</v>
      </c>
      <c r="E12" s="8">
        <v>88</v>
      </c>
      <c r="F12" s="8">
        <v>9</v>
      </c>
      <c r="G12" s="8" t="s">
        <v>5</v>
      </c>
      <c r="H12" s="7">
        <f>SQRT((C12-$C$27)^2 + (D12-$D$27)^2)</f>
        <v>10.412012293500233</v>
      </c>
      <c r="I12" s="7">
        <f>SQRT((C12-$C$27)^2 + (D12-$D$27)^2 + (E12-$E$27)^2 + (F12-$F$27)^2)</f>
        <v>13.130498848101697</v>
      </c>
      <c r="K12" s="9" t="s">
        <v>58</v>
      </c>
    </row>
    <row r="13" spans="1:14" x14ac:dyDescent="0.25">
      <c r="A13" s="5">
        <v>11</v>
      </c>
      <c r="B13" s="5" t="s">
        <v>20</v>
      </c>
      <c r="C13" s="8">
        <v>29</v>
      </c>
      <c r="D13" s="8">
        <v>24</v>
      </c>
      <c r="E13" s="8">
        <v>73</v>
      </c>
      <c r="F13" s="8">
        <v>11.5</v>
      </c>
      <c r="G13" s="8" t="s">
        <v>4</v>
      </c>
      <c r="H13" s="7">
        <f>SQRT((C13-$C$27)^2 + (D13-$D$27)^2)</f>
        <v>9.3407708461347028</v>
      </c>
      <c r="I13" s="7">
        <f>SQRT((C13-$C$27)^2 + (D13-$D$27)^2 + (E13-$E$27)^2 + (F13-$F$27)^2)</f>
        <v>11.937336386313323</v>
      </c>
      <c r="K13" s="9" t="s">
        <v>45</v>
      </c>
      <c r="L13" s="9" t="s">
        <v>46</v>
      </c>
      <c r="M13" s="9" t="s">
        <v>47</v>
      </c>
    </row>
    <row r="14" spans="1:14" x14ac:dyDescent="0.25">
      <c r="A14" s="5">
        <v>2</v>
      </c>
      <c r="B14" s="5" t="s">
        <v>10</v>
      </c>
      <c r="C14" s="8">
        <v>30</v>
      </c>
      <c r="D14" s="8">
        <v>24.2</v>
      </c>
      <c r="E14" s="8">
        <v>75</v>
      </c>
      <c r="F14" s="8">
        <v>14</v>
      </c>
      <c r="G14" s="8" t="s">
        <v>4</v>
      </c>
      <c r="H14" s="7">
        <f>SQRT((C14-$C$27)^2 + (D14-$D$27)^2)</f>
        <v>8.3240615086627034</v>
      </c>
      <c r="I14" s="7">
        <f>SQRT((C14-$C$27)^2 + (D14-$D$27)^2 + (E14-$E$27)^2 + (F14-$F$27)^2)</f>
        <v>10.921996154549772</v>
      </c>
      <c r="K14" t="s">
        <v>50</v>
      </c>
      <c r="L14" t="s">
        <v>52</v>
      </c>
      <c r="M14" t="s">
        <v>53</v>
      </c>
    </row>
    <row r="15" spans="1:14" x14ac:dyDescent="0.25">
      <c r="A15" s="5">
        <v>18</v>
      </c>
      <c r="B15" s="5" t="s">
        <v>26</v>
      </c>
      <c r="C15" s="8">
        <v>46</v>
      </c>
      <c r="D15" s="8">
        <v>28</v>
      </c>
      <c r="E15" s="8">
        <v>86</v>
      </c>
      <c r="F15" s="8">
        <v>10</v>
      </c>
      <c r="G15" s="8" t="s">
        <v>5</v>
      </c>
      <c r="H15" s="7">
        <f>SQRT((C15-$C$27)^2 + (D15-$D$27)^2)</f>
        <v>8.1394102980498531</v>
      </c>
      <c r="I15" s="7">
        <f>SQRT((C15-$C$27)^2 + (D15-$D$27)^2 + (E15-$E$27)^2 + (F15-$F$27)^2)</f>
        <v>10.161200716450788</v>
      </c>
      <c r="K15" t="s">
        <v>51</v>
      </c>
      <c r="L15" t="s">
        <v>51</v>
      </c>
      <c r="M15" t="s">
        <v>51</v>
      </c>
    </row>
    <row r="16" spans="1:14" x14ac:dyDescent="0.25">
      <c r="A16" s="5">
        <v>19</v>
      </c>
      <c r="B16" s="5" t="s">
        <v>27</v>
      </c>
      <c r="C16" s="8">
        <v>31</v>
      </c>
      <c r="D16" s="8">
        <v>23.8</v>
      </c>
      <c r="E16" s="8">
        <v>74</v>
      </c>
      <c r="F16" s="8">
        <v>9</v>
      </c>
      <c r="G16" s="8" t="s">
        <v>4</v>
      </c>
      <c r="H16" s="7">
        <f>SQRT((C16-$C$27)^2 + (D16-$D$27)^2)</f>
        <v>7.5026661927610769</v>
      </c>
      <c r="I16" s="7">
        <f>SQRT((C16-$C$27)^2 + (D16-$D$27)^2 + (E16-$E$27)^2 + (F16-$F$27)^2)</f>
        <v>9.6067684472979771</v>
      </c>
    </row>
    <row r="17" spans="1:13" x14ac:dyDescent="0.25">
      <c r="A17" s="5">
        <v>4</v>
      </c>
      <c r="B17" s="5" t="s">
        <v>13</v>
      </c>
      <c r="C17" s="8">
        <v>45</v>
      </c>
      <c r="D17" s="8">
        <v>28.7</v>
      </c>
      <c r="E17" s="8">
        <v>85</v>
      </c>
      <c r="F17" s="8">
        <v>11.5</v>
      </c>
      <c r="G17" s="8" t="s">
        <v>5</v>
      </c>
      <c r="H17" s="7">
        <f>SQRT((C17-$C$27)^2 + (D17-$D$27)^2)</f>
        <v>7.3375745311376566</v>
      </c>
      <c r="I17" s="7">
        <f>SQRT((C17-$C$27)^2 + (D17-$D$27)^2 + (E17-$E$27)^2 + (F17-$F$27)^2)</f>
        <v>9.2244241012650754</v>
      </c>
      <c r="K17" s="9" t="s">
        <v>57</v>
      </c>
    </row>
    <row r="18" spans="1:13" x14ac:dyDescent="0.25">
      <c r="A18" s="5">
        <v>7</v>
      </c>
      <c r="B18" s="5" t="s">
        <v>16</v>
      </c>
      <c r="C18" s="8">
        <v>32</v>
      </c>
      <c r="D18" s="8">
        <v>25.5</v>
      </c>
      <c r="E18" s="8">
        <v>76</v>
      </c>
      <c r="F18" s="8">
        <v>14</v>
      </c>
      <c r="G18" s="8" t="s">
        <v>4</v>
      </c>
      <c r="H18" s="7">
        <f>SQRT((C18-$C$27)^2 + (D18-$D$27)^2)</f>
        <v>6.0827625302982193</v>
      </c>
      <c r="I18" s="7">
        <f>SQRT((C18-$C$27)^2 + (D18-$D$27)^2 + (E18-$E$27)^2 + (F18-$F$27)^2)</f>
        <v>8.8317608663278477</v>
      </c>
      <c r="K18" t="s">
        <v>56</v>
      </c>
      <c r="L18" t="s">
        <v>52</v>
      </c>
      <c r="M18" t="s">
        <v>59</v>
      </c>
    </row>
    <row r="19" spans="1:13" x14ac:dyDescent="0.25">
      <c r="A19" s="5">
        <v>13</v>
      </c>
      <c r="B19" s="5" t="s">
        <v>22</v>
      </c>
      <c r="C19" s="8">
        <v>41</v>
      </c>
      <c r="D19" s="8">
        <v>27.3</v>
      </c>
      <c r="E19" s="8">
        <v>84</v>
      </c>
      <c r="F19" s="8">
        <v>14</v>
      </c>
      <c r="G19" s="8" t="s">
        <v>5</v>
      </c>
      <c r="H19" s="7">
        <f>SQRT((C19-$C$27)^2 + (D19-$D$27)^2)</f>
        <v>3.1048349392520049</v>
      </c>
      <c r="I19" s="7">
        <f>SQRT((C19-$C$27)^2 + (D19-$D$27)^2 + (E19-$E$27)^2 + (F19-$F$27)^2)</f>
        <v>7.1161787498628781</v>
      </c>
      <c r="K19" t="s">
        <v>51</v>
      </c>
      <c r="L19" t="s">
        <v>51</v>
      </c>
      <c r="M19" t="s">
        <v>51</v>
      </c>
    </row>
    <row r="20" spans="1:13" x14ac:dyDescent="0.25">
      <c r="A20" s="5">
        <v>25</v>
      </c>
      <c r="B20" s="5" t="s">
        <v>31</v>
      </c>
      <c r="C20" s="8">
        <v>33</v>
      </c>
      <c r="D20" s="8">
        <v>24.6</v>
      </c>
      <c r="E20" s="8">
        <v>77</v>
      </c>
      <c r="F20" s="8">
        <v>10</v>
      </c>
      <c r="G20" s="8" t="s">
        <v>4</v>
      </c>
      <c r="H20" s="7">
        <f>SQRT((C20-$C$27)^2 + (D20-$D$27)^2)</f>
        <v>5.3488316481265326</v>
      </c>
      <c r="I20" s="7">
        <f>SQRT((C20-$C$27)^2 + (D20-$D$27)^2 + (E20-$E$27)^2 + (F20-$F$27)^2)</f>
        <v>6.2136945531623935</v>
      </c>
    </row>
    <row r="21" spans="1:13" x14ac:dyDescent="0.25">
      <c r="A21" s="5">
        <v>14</v>
      </c>
      <c r="B21" s="5" t="s">
        <v>23</v>
      </c>
      <c r="C21" s="8">
        <v>43</v>
      </c>
      <c r="D21" s="8">
        <v>27.9</v>
      </c>
      <c r="E21" s="8">
        <v>83</v>
      </c>
      <c r="F21" s="8">
        <v>9</v>
      </c>
      <c r="G21" s="8" t="s">
        <v>5</v>
      </c>
      <c r="H21" s="7">
        <f>SQRT((C21-$C$27)^2 + (D21-$D$27)^2)</f>
        <v>5.1923019942988677</v>
      </c>
      <c r="I21" s="7">
        <f>SQRT((C21-$C$27)^2 + (D21-$D$27)^2 + (E21-$E$27)^2 + (F21-$F$27)^2)</f>
        <v>5.9966657402259793</v>
      </c>
    </row>
    <row r="22" spans="1:13" x14ac:dyDescent="0.25">
      <c r="A22" s="5">
        <v>22</v>
      </c>
      <c r="B22" s="5" t="s">
        <v>28</v>
      </c>
      <c r="C22" s="8">
        <v>34</v>
      </c>
      <c r="D22" s="8">
        <v>25.2</v>
      </c>
      <c r="E22" s="8">
        <v>78</v>
      </c>
      <c r="F22" s="8">
        <v>11.5</v>
      </c>
      <c r="G22" s="8" t="s">
        <v>4</v>
      </c>
      <c r="H22" s="7">
        <f>SQRT((C22-$C$27)^2 + (D22-$D$27)^2)</f>
        <v>4.2059481689626184</v>
      </c>
      <c r="I22" s="7">
        <f>SQRT((C22-$C$27)^2 + (D22-$D$27)^2 + (E22-$E$27)^2 + (F22-$F$27)^2)</f>
        <v>5.285830114561004</v>
      </c>
    </row>
    <row r="23" spans="1:13" x14ac:dyDescent="0.25">
      <c r="A23" s="5">
        <v>24</v>
      </c>
      <c r="B23" s="5" t="s">
        <v>30</v>
      </c>
      <c r="C23" s="8">
        <v>40</v>
      </c>
      <c r="D23" s="8">
        <v>27</v>
      </c>
      <c r="E23" s="8">
        <v>82</v>
      </c>
      <c r="F23" s="8">
        <v>11.5</v>
      </c>
      <c r="G23" s="8" t="s">
        <v>4</v>
      </c>
      <c r="H23" s="7">
        <f>SQRT((C23-$C$27)^2 + (D23-$D$27)^2)</f>
        <v>2.0615528128088303</v>
      </c>
      <c r="I23" s="7">
        <f>SQRT((C23-$C$27)^2 + (D23-$D$27)^2 + (E23-$E$27)^2 + (F23-$F$27)^2)</f>
        <v>3.8078865529319543</v>
      </c>
    </row>
    <row r="24" spans="1:13" x14ac:dyDescent="0.25">
      <c r="A24" s="5">
        <v>8</v>
      </c>
      <c r="B24" s="5" t="s">
        <v>17</v>
      </c>
      <c r="C24" s="8">
        <v>35</v>
      </c>
      <c r="D24" s="8">
        <v>26.1</v>
      </c>
      <c r="E24" s="8">
        <v>80</v>
      </c>
      <c r="F24" s="8">
        <v>10</v>
      </c>
      <c r="G24" s="8" t="s">
        <v>4</v>
      </c>
      <c r="H24" s="7">
        <f>SQRT((C24-$C$27)^2 + (D24-$D$27)^2)</f>
        <v>3.0265491900843111</v>
      </c>
      <c r="I24" s="7">
        <f>SQRT((C24-$C$27)^2 + (D24-$D$27)^2 + (E24-$E$27)^2 + (F24-$F$27)^2)</f>
        <v>3.1874754901018454</v>
      </c>
    </row>
    <row r="25" spans="1:13" x14ac:dyDescent="0.25">
      <c r="A25" s="5">
        <v>16</v>
      </c>
      <c r="B25" s="5" t="s">
        <v>25</v>
      </c>
      <c r="C25" s="8">
        <v>36</v>
      </c>
      <c r="D25" s="8">
        <v>25.9</v>
      </c>
      <c r="E25" s="8">
        <v>79</v>
      </c>
      <c r="F25" s="8">
        <v>9</v>
      </c>
      <c r="G25" s="8" t="s">
        <v>4</v>
      </c>
      <c r="H25" s="7">
        <f>SQRT((C25-$C$27)^2 + (D25-$D$27)^2)</f>
        <v>2.0880613017821106</v>
      </c>
      <c r="I25" s="7">
        <f>SQRT((C25-$C$27)^2 + (D25-$D$27)^2 + (E25-$E$27)^2 + (F25-$F$27)^2)</f>
        <v>2.3151673805580457</v>
      </c>
    </row>
    <row r="26" spans="1:13" x14ac:dyDescent="0.25">
      <c r="A26" s="5">
        <v>15</v>
      </c>
      <c r="B26" s="5" t="s">
        <v>24</v>
      </c>
      <c r="C26" s="8">
        <v>39</v>
      </c>
      <c r="D26" s="8">
        <v>26.8</v>
      </c>
      <c r="E26" s="8">
        <v>81</v>
      </c>
      <c r="F26" s="8">
        <v>8</v>
      </c>
      <c r="G26" s="8" t="s">
        <v>4</v>
      </c>
      <c r="H26" s="7">
        <f>SQRT((C26-$C$27)^2 + (D26-$D$27)^2)</f>
        <v>1.0440306508910553</v>
      </c>
      <c r="I26" s="7">
        <f>SQRT((C26-$C$27)^2 + (D26-$D$27)^2 + (E26-$E$27)^2 + (F26-$F$27)^2)</f>
        <v>1.7578395831246947</v>
      </c>
    </row>
    <row r="27" spans="1:13" x14ac:dyDescent="0.25">
      <c r="A27" s="5">
        <v>26</v>
      </c>
      <c r="B27" s="5" t="s">
        <v>49</v>
      </c>
      <c r="C27" s="1">
        <v>38</v>
      </c>
      <c r="D27" s="1">
        <v>26.5</v>
      </c>
      <c r="E27" s="1">
        <v>80</v>
      </c>
      <c r="F27" s="1">
        <v>9</v>
      </c>
      <c r="G27" s="1" t="s">
        <v>6</v>
      </c>
    </row>
  </sheetData>
  <autoFilter ref="A1:I27" xr:uid="{ED3DE640-1DDE-4C65-AA3B-AA0B1B674703}">
    <sortState xmlns:xlrd2="http://schemas.microsoft.com/office/spreadsheetml/2017/richdata2" ref="A2:I27">
      <sortCondition descending="1" ref="I1:I2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Chawla</dc:creator>
  <cp:lastModifiedBy>Akash Chawla</cp:lastModifiedBy>
  <dcterms:created xsi:type="dcterms:W3CDTF">2025-06-12T02:38:57Z</dcterms:created>
  <dcterms:modified xsi:type="dcterms:W3CDTF">2026-04-03T02:05:44Z</dcterms:modified>
</cp:coreProperties>
</file>